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UNI超级轻小件" sheetId="8" r:id="rId1"/>
    <sheet name="UNI低客单价" sheetId="12" r:id="rId2"/>
    <sheet name="UNI轻小件" sheetId="11" r:id="rId3"/>
    <sheet name="UNI大件" sheetId="10" r:id="rId4"/>
    <sheet name="UNI高轻客单价" sheetId="13" r:id="rId5"/>
    <sheet name="UNI高重客单价" sheetId="14" r:id="rId6"/>
    <sheet name="WpsReserved_CellImgList" sheetId="15" state="veryHidden" r:id="rId7"/>
  </sheets>
  <definedNames>
    <definedName name="_xlnm._FilterDatabase" localSheetId="0" hidden="1">UNI超级轻小件!$A$1:$A$4</definedName>
    <definedName name="_xlnm._FilterDatabase" localSheetId="3" hidden="1">UNI大件!$A:$A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<sst xmlns="http://schemas.openxmlformats.org/spreadsheetml/2006/main" count="66" uniqueCount="11">
  <si>
    <t>产品ID</t>
  </si>
  <si>
    <t>重量(克)</t>
  </si>
  <si>
    <t>常规采购价</t>
  </si>
  <si>
    <t>运费</t>
  </si>
  <si>
    <t>佣金</t>
  </si>
  <si>
    <t>贴单</t>
  </si>
  <si>
    <t>总成本</t>
  </si>
  <si>
    <t>利润</t>
  </si>
  <si>
    <t>RMB价格</t>
  </si>
  <si>
    <t>采购链接SKU</t>
  </si>
  <si>
    <t>1688或采购链接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</si>
</sst>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_ "/>
    <numFmt numFmtId="178" formatCode="&quot;￥&quot;##0.00;&quot;￥&quot;\-#,##0.00"/>
    <numFmt numFmtId="179" formatCode="#,##0.00_ "/>
  </numFmts>
  <fonts count="3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等线"/>
      <charset val="134"/>
    </font>
    <font>
      <u/>
      <sz val="11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b/>
      <sz val="11"/>
      <color rgb="FF000000"/>
      <name val="等线"/>
      <charset val="134"/>
    </font>
    <font>
      <sz val="9.75"/>
      <color rgb="FF222222"/>
      <name val="Segoe UI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0"/>
      <color rgb="FF0000FF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5" fillId="0" borderId="1" xfId="6" applyFont="1" applyBorder="1" applyAlignment="1">
      <alignment horizontal="justify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6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>
      <alignment vertical="center"/>
    </xf>
    <xf numFmtId="0" fontId="7" fillId="4" borderId="1" xfId="0" applyNumberFormat="1" applyFont="1" applyFill="1" applyBorder="1" applyAlignment="1">
      <alignment horizontal="center" vertical="center" wrapText="1"/>
    </xf>
    <xf numFmtId="0" fontId="6" fillId="0" borderId="1" xfId="6" applyBorder="1" applyAlignment="1">
      <alignment horizontal="justify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6" applyBorder="1">
      <alignment vertical="center"/>
    </xf>
    <xf numFmtId="0" fontId="6" fillId="0" borderId="1" xfId="6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6" fillId="0" borderId="1" xfId="6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176" fontId="9" fillId="6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0" fontId="9" fillId="4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9" fontId="10" fillId="3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10" fontId="10" fillId="0" borderId="1" xfId="0" applyNumberFormat="1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left" vertical="center" wrapText="1"/>
    </xf>
    <xf numFmtId="0" fontId="6" fillId="0" borderId="1" xfId="6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6A6A6"/>
      <color rgb="00E40D08"/>
      <color rgb="00D337C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145" zoomScaleNormal="145" workbookViewId="0">
      <pane ySplit="1" topLeftCell="A2" activePane="bottomLeft" state="frozen"/>
      <selection/>
      <selection pane="bottomLeft" activeCell="D2" sqref="D2"/>
    </sheetView>
  </sheetViews>
  <sheetFormatPr defaultColWidth="11.3333333333333" defaultRowHeight="15" customHeight="1" outlineLevelRow="3"/>
  <cols>
    <col min="1" max="1" width="11.5481481481481" style="50" customWidth="1"/>
    <col min="2" max="2" width="6.81481481481481" style="51" customWidth="1"/>
    <col min="3" max="3" width="8.81481481481481" style="51" customWidth="1"/>
    <col min="4" max="4" width="3.91111111111111" style="52" customWidth="1"/>
    <col min="5" max="5" width="4.91111111111111" style="53" customWidth="1"/>
    <col min="6" max="6" width="3.91111111111111" style="52" customWidth="1"/>
    <col min="7" max="7" width="6.91111111111111" style="52" customWidth="1"/>
    <col min="8" max="8" width="6.72592592592593" style="52" customWidth="1"/>
    <col min="9" max="9" width="7.91111111111111" style="51" customWidth="1"/>
    <col min="10" max="10" width="16.3185185185185" style="54" customWidth="1"/>
    <col min="11" max="11" width="13.362962962963" style="49" customWidth="1"/>
    <col min="12" max="16375" width="11.3333333333333" style="49"/>
    <col min="16376" max="16384" width="11.3333333333333" style="6"/>
  </cols>
  <sheetData>
    <row r="1" s="49" customFormat="1" customHeight="1" spans="1:11">
      <c r="A1" s="55" t="s">
        <v>0</v>
      </c>
      <c r="B1" s="56" t="s">
        <v>1</v>
      </c>
      <c r="C1" s="56" t="s">
        <v>2</v>
      </c>
      <c r="D1" s="55" t="s">
        <v>3</v>
      </c>
      <c r="E1" s="57" t="s">
        <v>4</v>
      </c>
      <c r="F1" s="58" t="s">
        <v>5</v>
      </c>
      <c r="G1" s="58" t="s">
        <v>6</v>
      </c>
      <c r="H1" s="59" t="s">
        <v>7</v>
      </c>
      <c r="I1" s="56" t="s">
        <v>8</v>
      </c>
      <c r="J1" s="7" t="s">
        <v>9</v>
      </c>
      <c r="K1" s="7" t="s">
        <v>10</v>
      </c>
    </row>
    <row r="2" customHeight="1" spans="1:11">
      <c r="A2" s="24"/>
      <c r="B2" s="60">
        <v>480</v>
      </c>
      <c r="C2" s="61">
        <v>6.6</v>
      </c>
      <c r="D2" s="62">
        <f>0.025*B2+3</f>
        <v>15</v>
      </c>
      <c r="E2" s="63">
        <f>I2*12%</f>
        <v>4.2</v>
      </c>
      <c r="F2" s="62">
        <v>2</v>
      </c>
      <c r="G2" s="64">
        <f>(C2+D2+E2+F2)*1.012</f>
        <v>28.1336</v>
      </c>
      <c r="H2" s="65">
        <f>(I2-G2)/I2</f>
        <v>0.196182857142857</v>
      </c>
      <c r="I2" s="61">
        <v>35</v>
      </c>
      <c r="J2" s="66"/>
      <c r="K2" s="1"/>
    </row>
    <row r="3" customHeight="1" spans="1:11">
      <c r="C3" s="61"/>
      <c r="D3" s="62"/>
      <c r="E3" s="63"/>
      <c r="F3" s="62"/>
      <c r="G3" s="64"/>
      <c r="H3" s="65"/>
      <c r="I3" s="61"/>
      <c r="K3" s="67"/>
    </row>
    <row r="4" customHeight="1" spans="1:11">
      <c r="D4" s="62"/>
      <c r="E4" s="63"/>
      <c r="F4" s="62"/>
      <c r="G4" s="64"/>
      <c r="H4" s="65"/>
      <c r="I4" s="61"/>
      <c r="K4" s="6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4" etc:filterBottomFollowUsedRange="1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145" zoomScaleNormal="145" workbookViewId="0">
      <pane ySplit="1" topLeftCell="A2" activePane="bottomLeft" state="frozen"/>
      <selection/>
      <selection pane="bottomLeft" activeCell="D2" sqref="D2"/>
    </sheetView>
  </sheetViews>
  <sheetFormatPr defaultColWidth="8.88888888888889" defaultRowHeight="15" customHeight="1" outlineLevelRow="3"/>
  <cols>
    <col min="1" max="1" width="11.5481481481481" style="23" customWidth="1"/>
    <col min="2" max="2" width="6.81481481481481" style="3" customWidth="1"/>
    <col min="3" max="3" width="7.18518518518519" style="3" customWidth="1"/>
    <col min="4" max="4" width="4.63703703703704" style="2" customWidth="1"/>
    <col min="5" max="5" width="5.45185185185185" style="4" customWidth="1"/>
    <col min="6" max="6" width="3.91111111111111" style="2" customWidth="1"/>
    <col min="7" max="7" width="6.76296296296296" style="2" customWidth="1"/>
    <col min="8" max="8" width="5.81481481481481" style="2" customWidth="1"/>
    <col min="9" max="9" width="8.77777777777778" style="3" customWidth="1"/>
    <col min="10" max="10" width="10.5481481481481" style="6" customWidth="1"/>
    <col min="11" max="11" width="15.1851851851852" style="6" customWidth="1"/>
    <col min="12" max="16384" width="8.88888888888889" style="6"/>
  </cols>
  <sheetData>
    <row r="1" s="1" customFormat="1" customHeight="1" spans="1:11">
      <c r="A1" s="35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</row>
    <row r="2" s="42" customFormat="1" customHeight="1" spans="1:11">
      <c r="A2" s="43"/>
      <c r="B2" s="44">
        <v>1100</v>
      </c>
      <c r="C2" s="44">
        <v>36</v>
      </c>
      <c r="D2" s="12">
        <f>0.017*B2+23</f>
        <v>41.7</v>
      </c>
      <c r="E2" s="13">
        <f>I2*12%</f>
        <v>14.28</v>
      </c>
      <c r="F2" s="45">
        <v>2</v>
      </c>
      <c r="G2" s="14">
        <f>(C2+D2+E2+F2)*1.03</f>
        <v>96.7994</v>
      </c>
      <c r="H2" s="21">
        <f>(I2-G2)/I2</f>
        <v>0.186559663865546</v>
      </c>
      <c r="I2" s="44">
        <v>119</v>
      </c>
      <c r="J2" s="46"/>
      <c r="K2" s="46"/>
    </row>
    <row r="3" customHeight="1" spans="1:11">
      <c r="C3" s="44"/>
      <c r="D3" s="12"/>
      <c r="E3" s="13"/>
      <c r="F3" s="45"/>
      <c r="G3" s="14"/>
      <c r="H3" s="21"/>
      <c r="I3" s="44"/>
      <c r="J3" s="28"/>
      <c r="K3" s="47"/>
    </row>
    <row r="4" customHeight="1" spans="1:11">
      <c r="C4" s="44"/>
      <c r="D4" s="12"/>
      <c r="E4" s="13"/>
      <c r="F4" s="45"/>
      <c r="G4" s="14"/>
      <c r="H4" s="21"/>
      <c r="I4" s="44"/>
      <c r="J4" s="48"/>
      <c r="K4" s="4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zoomScale="145" zoomScaleNormal="145" workbookViewId="0">
      <pane ySplit="1" topLeftCell="A2" activePane="bottomLeft" state="frozen"/>
      <selection/>
      <selection pane="bottomLeft" activeCell="D3" sqref="D3"/>
    </sheetView>
  </sheetViews>
  <sheetFormatPr defaultColWidth="8.88888888888889" defaultRowHeight="15" customHeight="1"/>
  <cols>
    <col min="1" max="1" width="15.1703703703704" style="29" customWidth="1"/>
    <col min="2" max="2" width="6.81481481481481" style="30" customWidth="1"/>
    <col min="3" max="3" width="8.81481481481481" style="30" customWidth="1"/>
    <col min="4" max="4" width="4.63703703703704" style="31" customWidth="1"/>
    <col min="5" max="5" width="5.45185185185185" style="32" customWidth="1"/>
    <col min="6" max="8" width="9.55555555555556" style="31" customWidth="1"/>
    <col min="9" max="9" width="9.55555555555556" style="30" customWidth="1"/>
    <col min="10" max="10" width="10.5481481481481" style="33" customWidth="1"/>
    <col min="11" max="11" width="12.8148148148148" style="34" customWidth="1"/>
    <col min="12" max="16384" width="8.88888888888889" style="34"/>
  </cols>
  <sheetData>
    <row r="1" s="1" customFormat="1" customHeight="1" spans="1:16">
      <c r="A1" s="35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</row>
    <row r="2" customHeight="1" spans="1:16">
      <c r="A2" s="24"/>
      <c r="B2" s="19">
        <v>600</v>
      </c>
      <c r="C2" s="19">
        <v>97</v>
      </c>
      <c r="D2" s="12">
        <f>0.025*B2+16</f>
        <v>31</v>
      </c>
      <c r="E2" s="13">
        <f>I2*0.17</f>
        <v>33.15</v>
      </c>
      <c r="F2" s="14">
        <v>2</v>
      </c>
      <c r="G2" s="14">
        <f>(C2+D2+E2+F2)*1.03</f>
        <v>168.0445</v>
      </c>
      <c r="H2" s="21">
        <f>(I2-G2)/I2</f>
        <v>0.138233333333333</v>
      </c>
      <c r="I2" s="19">
        <v>195</v>
      </c>
      <c r="J2" s="36"/>
      <c r="K2" s="18"/>
    </row>
    <row r="3" customHeight="1" spans="1:16">
      <c r="A3" s="37"/>
      <c r="D3" s="12"/>
      <c r="E3" s="13"/>
      <c r="F3" s="14"/>
      <c r="G3" s="14"/>
      <c r="H3" s="21"/>
      <c r="I3" s="19"/>
      <c r="J3" s="38"/>
      <c r="K3" s="39"/>
    </row>
    <row r="4" customHeight="1" spans="1:16">
      <c r="D4" s="12"/>
      <c r="E4" s="13"/>
      <c r="F4" s="14"/>
      <c r="G4" s="14"/>
      <c r="H4" s="21"/>
      <c r="I4" s="19"/>
      <c r="K4" s="39"/>
    </row>
    <row r="5" customHeight="1" spans="1:16">
      <c r="D5" s="12"/>
      <c r="E5" s="13"/>
      <c r="F5" s="14"/>
      <c r="G5" s="14"/>
      <c r="H5" s="21"/>
      <c r="I5" s="19"/>
      <c r="K5" s="39"/>
    </row>
    <row r="6" customHeight="1" spans="1:16">
      <c r="D6" s="12"/>
      <c r="E6" s="13"/>
      <c r="F6" s="14"/>
      <c r="G6" s="14"/>
      <c r="H6" s="21"/>
      <c r="I6" s="19"/>
      <c r="K6" s="39"/>
    </row>
    <row r="7" customHeight="1" spans="1:16">
      <c r="D7" s="12"/>
      <c r="E7" s="13"/>
      <c r="F7" s="14"/>
      <c r="G7" s="14"/>
      <c r="H7" s="21"/>
      <c r="I7" s="19"/>
      <c r="K7" s="40"/>
      <c r="L7" s="40"/>
      <c r="M7" s="40"/>
      <c r="N7" s="40"/>
      <c r="O7" s="40"/>
      <c r="P7" s="40"/>
    </row>
    <row r="8" customHeight="1" spans="1:16">
      <c r="D8" s="12"/>
      <c r="E8" s="13"/>
      <c r="F8" s="14"/>
      <c r="G8" s="14"/>
      <c r="H8" s="21"/>
      <c r="I8" s="19"/>
      <c r="K8" s="40"/>
      <c r="L8" s="40"/>
      <c r="M8" s="40"/>
      <c r="N8" s="40"/>
      <c r="O8" s="40"/>
      <c r="P8" s="40"/>
    </row>
    <row r="9" customHeight="1" spans="1:16">
      <c r="D9" s="12"/>
      <c r="E9" s="13"/>
      <c r="F9" s="14"/>
      <c r="G9" s="14"/>
      <c r="H9" s="21"/>
      <c r="I9" s="19"/>
      <c r="K9" s="40"/>
      <c r="L9" s="31"/>
      <c r="M9" s="31"/>
      <c r="N9" s="31"/>
    </row>
    <row r="10" customHeight="1" spans="1:16">
      <c r="D10" s="12"/>
      <c r="E10" s="13"/>
      <c r="F10" s="14"/>
      <c r="G10" s="14"/>
      <c r="H10" s="21"/>
      <c r="I10" s="19"/>
      <c r="K10" s="31"/>
      <c r="L10" s="31"/>
      <c r="M10" s="31"/>
      <c r="N10" s="31"/>
    </row>
    <row r="11" customHeight="1" spans="1:16">
      <c r="D11" s="12"/>
      <c r="E11" s="13"/>
      <c r="F11" s="14"/>
      <c r="G11" s="14"/>
      <c r="H11" s="21"/>
      <c r="I11" s="19"/>
      <c r="J11" s="41"/>
      <c r="K11" s="40"/>
      <c r="L11" s="31"/>
      <c r="M11" s="31"/>
      <c r="N11" s="31"/>
    </row>
    <row r="12" customHeight="1" spans="1:16">
      <c r="D12" s="12"/>
      <c r="E12" s="13"/>
      <c r="F12" s="14"/>
      <c r="G12" s="14"/>
      <c r="H12" s="21"/>
      <c r="J12" s="41"/>
      <c r="K12" s="31"/>
      <c r="L12" s="31"/>
      <c r="M12" s="31"/>
      <c r="N12" s="31"/>
    </row>
    <row r="13" customHeight="1" spans="1:16">
      <c r="D13" s="12"/>
      <c r="E13" s="13"/>
      <c r="F13" s="14"/>
      <c r="G13" s="14"/>
      <c r="H13" s="21"/>
      <c r="J13" s="41"/>
      <c r="K13" s="31"/>
      <c r="L13" s="31"/>
      <c r="M13" s="31"/>
      <c r="N13" s="31"/>
    </row>
    <row r="14" customHeight="1" spans="1:16">
      <c r="D14" s="12"/>
      <c r="E14" s="13"/>
      <c r="F14" s="14"/>
      <c r="G14" s="14"/>
      <c r="H14" s="21"/>
    </row>
    <row r="15" customHeight="1" spans="1:16">
      <c r="D15" s="12"/>
      <c r="E15" s="13"/>
      <c r="F15" s="14"/>
      <c r="G15" s="14"/>
      <c r="H15" s="21"/>
    </row>
    <row r="16" customHeight="1" spans="1:16">
      <c r="D16" s="12"/>
      <c r="E16" s="13"/>
      <c r="F16" s="14"/>
      <c r="G16" s="14"/>
      <c r="H16" s="21"/>
    </row>
    <row r="17" customHeight="1" spans="4:11">
      <c r="D17" s="12"/>
      <c r="E17" s="13"/>
      <c r="F17" s="14"/>
      <c r="G17" s="14"/>
      <c r="H17" s="21"/>
    </row>
    <row r="18" customHeight="1" spans="4:11">
      <c r="D18" s="12"/>
      <c r="E18" s="13"/>
      <c r="F18" s="14"/>
      <c r="G18" s="14"/>
      <c r="H18" s="21"/>
      <c r="K18" s="39"/>
    </row>
  </sheetData>
  <sheetProtection formatCells="0" formatColumns="0" formatRows="0" insertRows="0" insertColumns="0" insertHyperlinks="0" deleteColumns="0" deleteRows="0" sort="0" autoFilter="0" pivotTables="0"/>
  <mergeCells count="3">
    <mergeCell ref="K7:P8"/>
    <mergeCell ref="K9:N10"/>
    <mergeCell ref="K11:N1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45" zoomScaleNormal="145" workbookViewId="0">
      <pane ySplit="1" topLeftCell="A2" activePane="bottomLeft" state="frozen"/>
      <selection/>
      <selection pane="bottomLeft" activeCell="D2" sqref="D2"/>
    </sheetView>
  </sheetViews>
  <sheetFormatPr defaultColWidth="8.88888888888889" defaultRowHeight="15" customHeight="1"/>
  <cols>
    <col min="1" max="1" width="16.7037037037037" style="23" customWidth="1"/>
    <col min="2" max="3" width="9.33333333333333" style="3" customWidth="1"/>
    <col min="4" max="4" width="9.33333333333333" style="2" customWidth="1"/>
    <col min="5" max="5" width="9.33333333333333" style="4" customWidth="1"/>
    <col min="6" max="8" width="9.33333333333333" style="2" customWidth="1"/>
    <col min="9" max="9" width="9.33333333333333" style="3" customWidth="1"/>
    <col min="10" max="10" width="10.5481481481481" style="5" customWidth="1"/>
    <col min="11" max="11" width="13.9111111111111" style="6" customWidth="1"/>
    <col min="12" max="16384" width="8.88888888888889" style="6"/>
  </cols>
  <sheetData>
    <row r="1" s="1" customFormat="1" customHeight="1" spans="1:13">
      <c r="A1" s="7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</row>
    <row r="2" customHeight="1" spans="1:13">
      <c r="A2" s="24"/>
      <c r="B2" s="25">
        <v>2180</v>
      </c>
      <c r="C2" s="25">
        <v>105</v>
      </c>
      <c r="D2" s="26">
        <f>0.017*B2+36</f>
        <v>73.06</v>
      </c>
      <c r="E2" s="13">
        <f>I2*11%</f>
        <v>35.09</v>
      </c>
      <c r="F2" s="26">
        <v>2</v>
      </c>
      <c r="G2" s="14">
        <f>(C2+D2+E2+F2)*1.03</f>
        <v>221.6045</v>
      </c>
      <c r="H2" s="21">
        <f>(I2-G2)/I2</f>
        <v>0.305315047021944</v>
      </c>
      <c r="I2" s="25">
        <v>319</v>
      </c>
      <c r="J2" s="22"/>
      <c r="K2" s="18"/>
    </row>
    <row r="3" customHeight="1" spans="1:13">
      <c r="C3" s="25"/>
      <c r="D3" s="26"/>
      <c r="E3" s="13"/>
      <c r="F3" s="26"/>
      <c r="G3" s="14"/>
      <c r="H3" s="21"/>
      <c r="I3" s="25"/>
    </row>
    <row r="4" customHeight="1" spans="1:13">
      <c r="D4" s="26"/>
      <c r="E4" s="13"/>
      <c r="F4" s="26"/>
      <c r="G4" s="14"/>
      <c r="H4" s="21"/>
      <c r="I4" s="25"/>
      <c r="K4" s="27"/>
    </row>
    <row r="5" customHeight="1" spans="1:13">
      <c r="D5" s="26"/>
      <c r="E5" s="13"/>
      <c r="F5" s="26"/>
      <c r="G5" s="14"/>
      <c r="H5" s="21"/>
      <c r="K5" s="27"/>
    </row>
    <row r="6" customHeight="1" spans="1:13">
      <c r="D6" s="26"/>
      <c r="E6" s="13"/>
      <c r="F6" s="26"/>
      <c r="G6" s="14"/>
      <c r="H6" s="21"/>
      <c r="K6" s="27"/>
      <c r="M6" s="28"/>
    </row>
    <row r="7" customHeight="1" spans="1:13">
      <c r="D7" s="26"/>
      <c r="E7" s="13"/>
      <c r="F7" s="26"/>
      <c r="G7" s="14"/>
      <c r="H7" s="21"/>
    </row>
    <row r="9" customHeight="1" spans="1:13">
      <c r="D9" s="26"/>
      <c r="E9" s="13"/>
      <c r="F9" s="26"/>
      <c r="G9" s="14"/>
      <c r="H9" s="2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zoomScale="145" zoomScaleNormal="145" workbookViewId="0">
      <pane ySplit="1" topLeftCell="A2" activePane="bottomLeft" state="frozen"/>
      <selection/>
      <selection pane="bottomLeft" activeCell="D11" sqref="D11"/>
    </sheetView>
  </sheetViews>
  <sheetFormatPr defaultColWidth="8.88888888888889" defaultRowHeight="16.5" outlineLevelRow="1"/>
  <cols>
    <col min="1" max="1" width="27.7777777777778" style="2" customWidth="1"/>
    <col min="2" max="3" width="9.11111111111111" style="3" customWidth="1"/>
    <col min="4" max="4" width="9.11111111111111" style="2" customWidth="1"/>
    <col min="5" max="5" width="9.11111111111111" style="4" customWidth="1"/>
    <col min="6" max="8" width="9.11111111111111" style="2" customWidth="1"/>
    <col min="9" max="9" width="9.11111111111111" style="3" customWidth="1"/>
    <col min="10" max="10" width="10.5481481481481" style="5" customWidth="1"/>
    <col min="11" max="11" width="15.8148148148148" style="6" customWidth="1"/>
    <col min="12" max="16384" width="8.88888888888889" style="6"/>
  </cols>
  <sheetData>
    <row r="1" s="1" customFormat="1" ht="30" spans="1:11">
      <c r="A1" s="7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</row>
    <row r="2" spans="1:11">
      <c r="A2" s="10"/>
      <c r="B2" s="19">
        <v>50</v>
      </c>
      <c r="C2" s="19">
        <v>531</v>
      </c>
      <c r="D2" s="12">
        <f>22+0.025*B2</f>
        <v>23.25</v>
      </c>
      <c r="E2" s="13">
        <f>I2*19.5%</f>
        <v>185.25</v>
      </c>
      <c r="F2" s="20">
        <v>2</v>
      </c>
      <c r="G2" s="14">
        <f>(C2+D2+E2+F2)</f>
        <v>741.5</v>
      </c>
      <c r="H2" s="21">
        <f>(I2-G2)/I2</f>
        <v>0.219473684210526</v>
      </c>
      <c r="I2" s="19">
        <v>950</v>
      </c>
      <c r="J2" s="22"/>
      <c r="K2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145" zoomScaleNormal="145" workbookViewId="0">
      <pane ySplit="1" topLeftCell="A2" activePane="bottomLeft" state="frozen"/>
      <selection/>
      <selection pane="bottomLeft" activeCell="D16" sqref="D16"/>
    </sheetView>
  </sheetViews>
  <sheetFormatPr defaultColWidth="8.88888888888889" defaultRowHeight="16.5" outlineLevelRow="1"/>
  <cols>
    <col min="1" max="1" width="22.8888888888889" style="2" customWidth="1"/>
    <col min="2" max="2" width="8.66666666666667" style="3" customWidth="1"/>
    <col min="3" max="3" width="10.5481481481481" style="3" customWidth="1"/>
    <col min="4" max="4" width="8.66666666666667" style="2" customWidth="1"/>
    <col min="5" max="5" width="8.66666666666667" style="4" customWidth="1"/>
    <col min="6" max="8" width="8.66666666666667" style="2" customWidth="1"/>
    <col min="9" max="9" width="8.66666666666667" style="3" customWidth="1"/>
    <col min="10" max="10" width="10.5481481481481" style="5" customWidth="1"/>
    <col min="11" max="11" width="14.7259259259259" style="6" customWidth="1"/>
    <col min="12" max="16384" width="8.88888888888889" style="6"/>
  </cols>
  <sheetData>
    <row r="1" s="1" customFormat="1" ht="30" spans="1:11">
      <c r="A1" s="7" t="s">
        <v>0</v>
      </c>
      <c r="B1" s="8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</row>
    <row r="2" ht="15" customHeight="1" spans="1:11">
      <c r="A2" s="10"/>
      <c r="B2" s="11">
        <v>23000</v>
      </c>
      <c r="C2" s="11">
        <v>460</v>
      </c>
      <c r="D2" s="12">
        <f>62+0.023*B2</f>
        <v>591</v>
      </c>
      <c r="E2" s="13">
        <f>I2*19%</f>
        <v>323</v>
      </c>
      <c r="F2" s="14">
        <f>2</f>
        <v>2</v>
      </c>
      <c r="G2" s="14">
        <f>(C2+D2+E2+F2)*1.03</f>
        <v>1417.28</v>
      </c>
      <c r="H2" s="15">
        <f>(I2-G2)/I2</f>
        <v>0.166305882352941</v>
      </c>
      <c r="I2" s="16">
        <v>1700</v>
      </c>
      <c r="J2" s="17"/>
      <c r="K2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" sqref="K3"/>
    </sheetView>
  </sheetViews>
  <sheetFormatPr defaultColWidth="8.88888888888889" defaultRowHeight="16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���Nl�
�荃Xr>kLh8n�[�^�h�v8nb����g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UNI超级轻小件</vt:lpstr>
      <vt:lpstr>UNI低客单价</vt:lpstr>
      <vt:lpstr>UNI轻小件</vt:lpstr>
      <vt:lpstr>UNI大件</vt:lpstr>
      <vt:lpstr>UNI高轻客单价</vt:lpstr>
      <vt:lpstr>UNI高重客单价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我走路带风</cp:lastModifiedBy>
  <dcterms:created xsi:type="dcterms:W3CDTF">2025-03-01T11:49:00Z</dcterms:created>
  <dcterms:modified xsi:type="dcterms:W3CDTF">2026-01-04T08:32:02Z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53DFE77D78A54DD2AFDA3BCE23918410_13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